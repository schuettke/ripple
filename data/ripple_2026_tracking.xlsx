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 Dashboard" sheetId="1" state="visible" r:id="rId1"/>
    <sheet xmlns:r="http://schemas.openxmlformats.org/officeDocument/2006/relationships" name="Vollständige Prognosen" sheetId="2" state="visible" r:id="rId2"/>
    <sheet xmlns:r="http://schemas.openxmlformats.org/officeDocument/2006/relationships" name="Anleit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$0.00"/>
  </numFmts>
  <fonts count="6">
    <font>
      <name val="Calibri"/>
      <family val="2"/>
      <color theme="1"/>
      <sz val="11"/>
      <scheme val="minor"/>
    </font>
    <font>
      <b val="1"/>
      <color rgb="000066CC"/>
      <sz val="14"/>
    </font>
    <font>
      <i val="1"/>
      <sz val="10"/>
    </font>
    <font>
      <i val="1"/>
      <sz val="9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6F2FF"/>
        <bgColor rgb="00E6F2FF"/>
      </patternFill>
    </fill>
    <fill>
      <patternFill patternType="solid">
        <fgColor rgb="00FFFFCC"/>
        <bgColor rgb="00FFFFCC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5" borderId="1" pivotButton="0" quotePrefix="0" xfId="0"/>
    <xf numFmtId="165" fontId="0" fillId="3" borderId="1" pivotButton="0" quotePrefix="0" xfId="0"/>
    <xf numFmtId="165" fontId="0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RIPPLE 2026 TRACKING DASHBOARD</t>
        </is>
      </c>
    </row>
    <row r="2">
      <c r="A2" s="2" t="inlineStr">
        <is>
          <t>Erstellt am: 02.02.2026</t>
        </is>
      </c>
    </row>
    <row r="3">
      <c r="A3" s="3" t="inlineStr">
        <is>
          <t>Anleitung: Tragen Sie monatlich die tatsächlichen Werte in die gelb markierten Spalten ein. Die Abweichungen werden automatisch berechnet.</t>
        </is>
      </c>
    </row>
    <row r="5" ht="40" customHeight="1">
      <c r="A5" s="4" t="inlineStr">
        <is>
          <t>Monat</t>
        </is>
      </c>
      <c r="B5" s="4" t="inlineStr">
        <is>
          <t>Partner Prognose</t>
        </is>
      </c>
      <c r="C5" s="4" t="inlineStr">
        <is>
          <t>Partner IST</t>
        </is>
      </c>
      <c r="D5" s="4" t="inlineStr">
        <is>
          <t>Abweichung %</t>
        </is>
      </c>
      <c r="E5" s="4" t="inlineStr">
        <is>
          <t>ODL Aktiv Prognose</t>
        </is>
      </c>
      <c r="F5" s="4" t="inlineStr">
        <is>
          <t>ODL Aktiv IST</t>
        </is>
      </c>
      <c r="G5" s="4" t="inlineStr">
        <is>
          <t>Abweichung %</t>
        </is>
      </c>
      <c r="H5" s="4" t="inlineStr">
        <is>
          <t>ODL Volumen (Mrd) Konservativ</t>
        </is>
      </c>
      <c r="I5" s="4" t="inlineStr">
        <is>
          <t>ODL Volumen (Mrd) IST</t>
        </is>
      </c>
      <c r="J5" s="4" t="inlineStr">
        <is>
          <t>Abweichung %</t>
        </is>
      </c>
      <c r="K5" s="4" t="inlineStr">
        <is>
          <t>XRP Preis ($) Konservativ</t>
        </is>
      </c>
      <c r="L5" s="4" t="inlineStr">
        <is>
          <t>XRP Preis ($) IST</t>
        </is>
      </c>
      <c r="M5" s="4" t="inlineStr">
        <is>
          <t>Abweichung %</t>
        </is>
      </c>
    </row>
    <row r="6">
      <c r="A6" s="5" t="inlineStr">
        <is>
          <t>2026-01</t>
        </is>
      </c>
      <c r="B6" s="6" t="n">
        <v>305</v>
      </c>
      <c r="C6" s="7" t="n"/>
      <c r="D6" s="8">
        <f>IF(C6&lt;&gt;"", (C6-B6)/B6*100, "")</f>
        <v/>
      </c>
      <c r="E6" s="6" t="n">
        <v>125</v>
      </c>
      <c r="F6" s="7" t="n"/>
      <c r="G6" s="8">
        <f>IF(F6&lt;&gt;"", (F6-E6)/E6*100, "")</f>
        <v/>
      </c>
      <c r="H6" s="6" t="n">
        <v>1522</v>
      </c>
      <c r="I6" s="7" t="n"/>
      <c r="J6" s="8">
        <f>IF(I6&lt;&gt;"", (I6-H6)/H6*100, "")</f>
        <v/>
      </c>
      <c r="K6" s="9" t="n">
        <v>1.67</v>
      </c>
      <c r="L6" s="10" t="n"/>
      <c r="M6" s="8">
        <f>IF(L6&lt;&gt;"", (L6-K6)/K6*100, "")</f>
        <v/>
      </c>
    </row>
    <row r="7">
      <c r="A7" s="5" t="inlineStr">
        <is>
          <t>2026-02</t>
        </is>
      </c>
      <c r="B7" s="6" t="n">
        <v>306</v>
      </c>
      <c r="C7" s="7" t="n"/>
      <c r="D7" s="8">
        <f>IF(C7&lt;&gt;"", (C7-B7)/B7*100, "")</f>
        <v/>
      </c>
      <c r="E7" s="6" t="n">
        <v>125</v>
      </c>
      <c r="F7" s="7" t="n"/>
      <c r="G7" s="8">
        <f>IF(F7&lt;&gt;"", (F7-E7)/E7*100, "")</f>
        <v/>
      </c>
      <c r="H7" s="6" t="n">
        <v>1545</v>
      </c>
      <c r="I7" s="7" t="n"/>
      <c r="J7" s="8">
        <f>IF(I7&lt;&gt;"", (I7-H7)/H7*100, "")</f>
        <v/>
      </c>
      <c r="K7" s="9" t="n">
        <v>1.68</v>
      </c>
      <c r="L7" s="10" t="n"/>
      <c r="M7" s="8">
        <f>IF(L7&lt;&gt;"", (L7-K7)/K7*100, "")</f>
        <v/>
      </c>
    </row>
    <row r="8">
      <c r="A8" s="5" t="inlineStr">
        <is>
          <t>2026-03</t>
        </is>
      </c>
      <c r="B8" s="6" t="n">
        <v>307</v>
      </c>
      <c r="C8" s="7" t="n"/>
      <c r="D8" s="8">
        <f>IF(C8&lt;&gt;"", (C8-B8)/B8*100, "")</f>
        <v/>
      </c>
      <c r="E8" s="6" t="n">
        <v>126</v>
      </c>
      <c r="F8" s="7" t="n"/>
      <c r="G8" s="8">
        <f>IF(F8&lt;&gt;"", (F8-E8)/E8*100, "")</f>
        <v/>
      </c>
      <c r="H8" s="6" t="n">
        <v>1568</v>
      </c>
      <c r="I8" s="7" t="n"/>
      <c r="J8" s="8">
        <f>IF(I8&lt;&gt;"", (I8-H8)/H8*100, "")</f>
        <v/>
      </c>
      <c r="K8" s="9" t="n">
        <v>1.7</v>
      </c>
      <c r="L8" s="10" t="n"/>
      <c r="M8" s="8">
        <f>IF(L8&lt;&gt;"", (L8-K8)/K8*100, "")</f>
        <v/>
      </c>
    </row>
    <row r="9">
      <c r="A9" s="5" t="inlineStr">
        <is>
          <t>2026-04</t>
        </is>
      </c>
      <c r="B9" s="6" t="n">
        <v>308</v>
      </c>
      <c r="C9" s="7" t="n"/>
      <c r="D9" s="8">
        <f>IF(C9&lt;&gt;"", (C9-B9)/B9*100, "")</f>
        <v/>
      </c>
      <c r="E9" s="6" t="n">
        <v>126</v>
      </c>
      <c r="F9" s="7" t="n"/>
      <c r="G9" s="8">
        <f>IF(F9&lt;&gt;"", (F9-E9)/E9*100, "")</f>
        <v/>
      </c>
      <c r="H9" s="6" t="n">
        <v>1590</v>
      </c>
      <c r="I9" s="7" t="n"/>
      <c r="J9" s="8">
        <f>IF(I9&lt;&gt;"", (I9-H9)/H9*100, "")</f>
        <v/>
      </c>
      <c r="K9" s="9" t="n">
        <v>1.71</v>
      </c>
      <c r="L9" s="10" t="n"/>
      <c r="M9" s="8">
        <f>IF(L9&lt;&gt;"", (L9-K9)/K9*100, "")</f>
        <v/>
      </c>
    </row>
    <row r="10">
      <c r="A10" s="5" t="inlineStr">
        <is>
          <t>2026-05</t>
        </is>
      </c>
      <c r="B10" s="6" t="n">
        <v>308</v>
      </c>
      <c r="C10" s="7" t="n"/>
      <c r="D10" s="8">
        <f>IF(C10&lt;&gt;"", (C10-B10)/B10*100, "")</f>
        <v/>
      </c>
      <c r="E10" s="6" t="n">
        <v>127</v>
      </c>
      <c r="F10" s="7" t="n"/>
      <c r="G10" s="8">
        <f>IF(F10&lt;&gt;"", (F10-E10)/E10*100, "")</f>
        <v/>
      </c>
      <c r="H10" s="6" t="n">
        <v>1612</v>
      </c>
      <c r="I10" s="7" t="n"/>
      <c r="J10" s="8">
        <f>IF(I10&lt;&gt;"", (I10-H10)/H10*100, "")</f>
        <v/>
      </c>
      <c r="K10" s="9" t="n">
        <v>1.72</v>
      </c>
      <c r="L10" s="10" t="n"/>
      <c r="M10" s="8">
        <f>IF(L10&lt;&gt;"", (L10-K10)/K10*100, "")</f>
        <v/>
      </c>
    </row>
    <row r="11">
      <c r="A11" s="5" t="inlineStr">
        <is>
          <t>2026-06</t>
        </is>
      </c>
      <c r="B11" s="6" t="n">
        <v>309</v>
      </c>
      <c r="C11" s="7" t="n"/>
      <c r="D11" s="8">
        <f>IF(C11&lt;&gt;"", (C11-B11)/B11*100, "")</f>
        <v/>
      </c>
      <c r="E11" s="6" t="n">
        <v>127</v>
      </c>
      <c r="F11" s="7" t="n"/>
      <c r="G11" s="8">
        <f>IF(F11&lt;&gt;"", (F11-E11)/E11*100, "")</f>
        <v/>
      </c>
      <c r="H11" s="6" t="n">
        <v>1635</v>
      </c>
      <c r="I11" s="7" t="n"/>
      <c r="J11" s="8">
        <f>IF(I11&lt;&gt;"", (I11-H11)/H11*100, "")</f>
        <v/>
      </c>
      <c r="K11" s="9" t="n">
        <v>1.73</v>
      </c>
      <c r="L11" s="10" t="n"/>
      <c r="M11" s="8">
        <f>IF(L11&lt;&gt;"", (L11-K11)/K11*100, "")</f>
        <v/>
      </c>
    </row>
    <row r="12">
      <c r="A12" s="5" t="inlineStr">
        <is>
          <t>2026-07</t>
        </is>
      </c>
      <c r="B12" s="6" t="n">
        <v>310</v>
      </c>
      <c r="C12" s="7" t="n"/>
      <c r="D12" s="8">
        <f>IF(C12&lt;&gt;"", (C12-B12)/B12*100, "")</f>
        <v/>
      </c>
      <c r="E12" s="6" t="n">
        <v>127</v>
      </c>
      <c r="F12" s="7" t="n"/>
      <c r="G12" s="8">
        <f>IF(F12&lt;&gt;"", (F12-E12)/E12*100, "")</f>
        <v/>
      </c>
      <c r="H12" s="6" t="n">
        <v>1658</v>
      </c>
      <c r="I12" s="7" t="n"/>
      <c r="J12" s="8">
        <f>IF(I12&lt;&gt;"", (I12-H12)/H12*100, "")</f>
        <v/>
      </c>
      <c r="K12" s="9" t="n">
        <v>1.74</v>
      </c>
      <c r="L12" s="10" t="n"/>
      <c r="M12" s="8">
        <f>IF(L12&lt;&gt;"", (L12-K12)/K12*100, "")</f>
        <v/>
      </c>
    </row>
    <row r="13">
      <c r="A13" s="5" t="inlineStr">
        <is>
          <t>2026-08</t>
        </is>
      </c>
      <c r="B13" s="6" t="n">
        <v>311</v>
      </c>
      <c r="C13" s="7" t="n"/>
      <c r="D13" s="8">
        <f>IF(C13&lt;&gt;"", (C13-B13)/B13*100, "")</f>
        <v/>
      </c>
      <c r="E13" s="6" t="n">
        <v>128</v>
      </c>
      <c r="F13" s="7" t="n"/>
      <c r="G13" s="8">
        <f>IF(F13&lt;&gt;"", (F13-E13)/E13*100, "")</f>
        <v/>
      </c>
      <c r="H13" s="6" t="n">
        <v>1680</v>
      </c>
      <c r="I13" s="7" t="n"/>
      <c r="J13" s="8">
        <f>IF(I13&lt;&gt;"", (I13-H13)/H13*100, "")</f>
        <v/>
      </c>
      <c r="K13" s="9" t="n">
        <v>1.76</v>
      </c>
      <c r="L13" s="10" t="n"/>
      <c r="M13" s="8">
        <f>IF(L13&lt;&gt;"", (L13-K13)/K13*100, "")</f>
        <v/>
      </c>
    </row>
    <row r="14">
      <c r="A14" s="5" t="inlineStr">
        <is>
          <t>2026-09</t>
        </is>
      </c>
      <c r="B14" s="6" t="n">
        <v>311</v>
      </c>
      <c r="C14" s="7" t="n"/>
      <c r="D14" s="8">
        <f>IF(C14&lt;&gt;"", (C14-B14)/B14*100, "")</f>
        <v/>
      </c>
      <c r="E14" s="6" t="n">
        <v>128</v>
      </c>
      <c r="F14" s="7" t="n"/>
      <c r="G14" s="8">
        <f>IF(F14&lt;&gt;"", (F14-E14)/E14*100, "")</f>
        <v/>
      </c>
      <c r="H14" s="6" t="n">
        <v>1702</v>
      </c>
      <c r="I14" s="7" t="n"/>
      <c r="J14" s="8">
        <f>IF(I14&lt;&gt;"", (I14-H14)/H14*100, "")</f>
        <v/>
      </c>
      <c r="K14" s="9" t="n">
        <v>1.77</v>
      </c>
      <c r="L14" s="10" t="n"/>
      <c r="M14" s="8">
        <f>IF(L14&lt;&gt;"", (L14-K14)/K14*100, "")</f>
        <v/>
      </c>
    </row>
    <row r="15">
      <c r="A15" s="5" t="inlineStr">
        <is>
          <t>2026-10</t>
        </is>
      </c>
      <c r="B15" s="6" t="n">
        <v>312</v>
      </c>
      <c r="C15" s="7" t="n"/>
      <c r="D15" s="8">
        <f>IF(C15&lt;&gt;"", (C15-B15)/B15*100, "")</f>
        <v/>
      </c>
      <c r="E15" s="6" t="n">
        <v>129</v>
      </c>
      <c r="F15" s="7" t="n"/>
      <c r="G15" s="8">
        <f>IF(F15&lt;&gt;"", (F15-E15)/E15*100, "")</f>
        <v/>
      </c>
      <c r="H15" s="6" t="n">
        <v>1725</v>
      </c>
      <c r="I15" s="7" t="n"/>
      <c r="J15" s="8">
        <f>IF(I15&lt;&gt;"", (I15-H15)/H15*100, "")</f>
        <v/>
      </c>
      <c r="K15" s="9" t="n">
        <v>1.78</v>
      </c>
      <c r="L15" s="10" t="n"/>
      <c r="M15" s="8">
        <f>IF(L15&lt;&gt;"", (L15-K15)/K15*100, "")</f>
        <v/>
      </c>
    </row>
    <row r="16">
      <c r="A16" s="5" t="inlineStr">
        <is>
          <t>2026-11</t>
        </is>
      </c>
      <c r="B16" s="6" t="n">
        <v>313</v>
      </c>
      <c r="C16" s="7" t="n"/>
      <c r="D16" s="8">
        <f>IF(C16&lt;&gt;"", (C16-B16)/B16*100, "")</f>
        <v/>
      </c>
      <c r="E16" s="6" t="n">
        <v>129</v>
      </c>
      <c r="F16" s="7" t="n"/>
      <c r="G16" s="8">
        <f>IF(F16&lt;&gt;"", (F16-E16)/E16*100, "")</f>
        <v/>
      </c>
      <c r="H16" s="6" t="n">
        <v>1748</v>
      </c>
      <c r="I16" s="7" t="n"/>
      <c r="J16" s="8">
        <f>IF(I16&lt;&gt;"", (I16-H16)/H16*100, "")</f>
        <v/>
      </c>
      <c r="K16" s="9" t="n">
        <v>1.79</v>
      </c>
      <c r="L16" s="10" t="n"/>
      <c r="M16" s="8">
        <f>IF(L16&lt;&gt;"", (L16-K16)/K16*100, "")</f>
        <v/>
      </c>
    </row>
    <row r="17">
      <c r="A17" s="5" t="inlineStr">
        <is>
          <t>2026-12</t>
        </is>
      </c>
      <c r="B17" s="6" t="n">
        <v>314</v>
      </c>
      <c r="C17" s="7" t="n"/>
      <c r="D17" s="8">
        <f>IF(C17&lt;&gt;"", (C17-B17)/B17*100, "")</f>
        <v/>
      </c>
      <c r="E17" s="6" t="n">
        <v>129</v>
      </c>
      <c r="F17" s="7" t="n"/>
      <c r="G17" s="8">
        <f>IF(F17&lt;&gt;"", (F17-E17)/E17*100, "")</f>
        <v/>
      </c>
      <c r="H17" s="6" t="n">
        <v>1770</v>
      </c>
      <c r="I17" s="7" t="n"/>
      <c r="J17" s="8">
        <f>IF(I17&lt;&gt;"", (I17-H17)/H17*100, "")</f>
        <v/>
      </c>
      <c r="K17" s="9" t="n">
        <v>1.8</v>
      </c>
      <c r="L17" s="10" t="n"/>
      <c r="M17" s="8">
        <f>IF(L17&lt;&gt;"", (L17-K17)/K17*100, "")</f>
        <v/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20" customWidth="1" min="3" max="3"/>
    <col width="30" customWidth="1" min="4" max="4"/>
    <col width="33" customWidth="1" min="5" max="5"/>
    <col width="34" customWidth="1" min="6" max="6"/>
    <col width="27" customWidth="1" min="7" max="7"/>
    <col width="28" customWidth="1" min="8" max="8"/>
    <col width="35" customWidth="1" min="9" max="9"/>
    <col width="35" customWidth="1" min="10" max="10"/>
  </cols>
  <sheetData>
    <row r="1">
      <c r="A1" s="1" t="inlineStr">
        <is>
          <t>RIPPLE 2026 - VOLLSTÄNDIGE MONATLICHE PROGNOSEN</t>
        </is>
      </c>
    </row>
    <row r="3">
      <c r="A3" s="4" t="inlineStr">
        <is>
          <t>Monat</t>
        </is>
      </c>
      <c r="B3" s="4" t="inlineStr">
        <is>
          <t>Partner_Gesamt_Prognose</t>
        </is>
      </c>
      <c r="C3" s="4" t="inlineStr">
        <is>
          <t>ODL_Aktiv_Prognose</t>
        </is>
      </c>
      <c r="D3" s="4" t="inlineStr">
        <is>
          <t>ODL_Adoptionsrate_%_Prognose</t>
        </is>
      </c>
      <c r="E3" s="4" t="inlineStr">
        <is>
          <t>ODL_Volumen_Mrd_USD_Konservativ</t>
        </is>
      </c>
      <c r="F3" s="4" t="inlineStr">
        <is>
          <t>ODL_Volumen_Mrd_USD_Optimistisch</t>
        </is>
      </c>
      <c r="G3" s="4" t="inlineStr">
        <is>
          <t>XRP_Preis_USD_Konservativ</t>
        </is>
      </c>
      <c r="H3" s="4" t="inlineStr">
        <is>
          <t>XRP_Preis_USD_Optimistisch</t>
        </is>
      </c>
      <c r="I3" s="4" t="inlineStr">
        <is>
          <t>Marktkapitalisierung_Mrd_USD_Konservativ</t>
        </is>
      </c>
      <c r="J3" s="4" t="inlineStr">
        <is>
          <t>Marktkapitalisierung_Mrd_USD_Optimistisch</t>
        </is>
      </c>
    </row>
    <row r="4">
      <c r="A4" s="5" t="inlineStr">
        <is>
          <t>2026-01</t>
        </is>
      </c>
      <c r="B4" s="5" t="n">
        <v>305</v>
      </c>
      <c r="C4" s="5" t="n">
        <v>125</v>
      </c>
      <c r="D4" s="5" t="n">
        <v>40.98</v>
      </c>
      <c r="E4" s="5" t="n">
        <v>1522</v>
      </c>
      <c r="F4" s="5" t="n">
        <v>1537</v>
      </c>
      <c r="G4" s="5" t="n">
        <v>1.67</v>
      </c>
      <c r="H4" s="5" t="n">
        <v>1.68</v>
      </c>
      <c r="I4" s="5" t="n">
        <v>75.3</v>
      </c>
      <c r="J4" s="5" t="n">
        <v>75.59999999999999</v>
      </c>
    </row>
    <row r="5">
      <c r="A5" s="5" t="inlineStr">
        <is>
          <t>2026-02</t>
        </is>
      </c>
      <c r="B5" s="5" t="n">
        <v>306</v>
      </c>
      <c r="C5" s="5" t="n">
        <v>125</v>
      </c>
      <c r="D5" s="5" t="n">
        <v>40.85</v>
      </c>
      <c r="E5" s="5" t="n">
        <v>1545</v>
      </c>
      <c r="F5" s="5" t="n">
        <v>1575</v>
      </c>
      <c r="G5" s="5" t="n">
        <v>1.68</v>
      </c>
      <c r="H5" s="5" t="n">
        <v>1.7</v>
      </c>
      <c r="I5" s="5" t="n">
        <v>75.8</v>
      </c>
      <c r="J5" s="5" t="n">
        <v>76.5</v>
      </c>
    </row>
    <row r="6">
      <c r="A6" s="5" t="inlineStr">
        <is>
          <t>2026-03</t>
        </is>
      </c>
      <c r="B6" s="5" t="n">
        <v>307</v>
      </c>
      <c r="C6" s="5" t="n">
        <v>126</v>
      </c>
      <c r="D6" s="5" t="n">
        <v>41.04</v>
      </c>
      <c r="E6" s="5" t="n">
        <v>1568</v>
      </c>
      <c r="F6" s="5" t="n">
        <v>1612</v>
      </c>
      <c r="G6" s="5" t="n">
        <v>1.7</v>
      </c>
      <c r="H6" s="5" t="n">
        <v>1.72</v>
      </c>
      <c r="I6" s="5" t="n">
        <v>76.40000000000001</v>
      </c>
      <c r="J6" s="5" t="n">
        <v>77.5</v>
      </c>
    </row>
    <row r="7">
      <c r="A7" s="5" t="inlineStr">
        <is>
          <t>2026-04</t>
        </is>
      </c>
      <c r="B7" s="5" t="n">
        <v>308</v>
      </c>
      <c r="C7" s="5" t="n">
        <v>126</v>
      </c>
      <c r="D7" s="5" t="n">
        <v>40.91</v>
      </c>
      <c r="E7" s="5" t="n">
        <v>1590</v>
      </c>
      <c r="F7" s="5" t="n">
        <v>1650</v>
      </c>
      <c r="G7" s="5" t="n">
        <v>1.71</v>
      </c>
      <c r="H7" s="5" t="n">
        <v>1.74</v>
      </c>
      <c r="I7" s="5" t="n">
        <v>76.90000000000001</v>
      </c>
      <c r="J7" s="5" t="n">
        <v>78.3</v>
      </c>
    </row>
    <row r="8">
      <c r="A8" s="5" t="inlineStr">
        <is>
          <t>2026-05</t>
        </is>
      </c>
      <c r="B8" s="5" t="n">
        <v>308</v>
      </c>
      <c r="C8" s="5" t="n">
        <v>127</v>
      </c>
      <c r="D8" s="5" t="n">
        <v>41.23</v>
      </c>
      <c r="E8" s="5" t="n">
        <v>1612</v>
      </c>
      <c r="F8" s="5" t="n">
        <v>1688</v>
      </c>
      <c r="G8" s="5" t="n">
        <v>1.72</v>
      </c>
      <c r="H8" s="5" t="n">
        <v>1.76</v>
      </c>
      <c r="I8" s="5" t="n">
        <v>77.5</v>
      </c>
      <c r="J8" s="5" t="n">
        <v>79.2</v>
      </c>
    </row>
    <row r="9">
      <c r="A9" s="5" t="inlineStr">
        <is>
          <t>2026-06</t>
        </is>
      </c>
      <c r="B9" s="5" t="n">
        <v>309</v>
      </c>
      <c r="C9" s="5" t="n">
        <v>127</v>
      </c>
      <c r="D9" s="5" t="n">
        <v>41.1</v>
      </c>
      <c r="E9" s="5" t="n">
        <v>1635</v>
      </c>
      <c r="F9" s="5" t="n">
        <v>1725</v>
      </c>
      <c r="G9" s="5" t="n">
        <v>1.73</v>
      </c>
      <c r="H9" s="5" t="n">
        <v>1.78</v>
      </c>
      <c r="I9" s="5" t="n">
        <v>78</v>
      </c>
      <c r="J9" s="5" t="n">
        <v>80.09999999999999</v>
      </c>
    </row>
    <row r="10">
      <c r="A10" s="5" t="inlineStr">
        <is>
          <t>2026-07</t>
        </is>
      </c>
      <c r="B10" s="5" t="n">
        <v>310</v>
      </c>
      <c r="C10" s="5" t="n">
        <v>127</v>
      </c>
      <c r="D10" s="5" t="n">
        <v>40.97</v>
      </c>
      <c r="E10" s="5" t="n">
        <v>1658</v>
      </c>
      <c r="F10" s="5" t="n">
        <v>1762</v>
      </c>
      <c r="G10" s="5" t="n">
        <v>1.74</v>
      </c>
      <c r="H10" s="5" t="n">
        <v>1.8</v>
      </c>
      <c r="I10" s="5" t="n">
        <v>78.5</v>
      </c>
      <c r="J10" s="5" t="n">
        <v>81</v>
      </c>
    </row>
    <row r="11">
      <c r="A11" s="5" t="inlineStr">
        <is>
          <t>2026-08</t>
        </is>
      </c>
      <c r="B11" s="5" t="n">
        <v>311</v>
      </c>
      <c r="C11" s="5" t="n">
        <v>128</v>
      </c>
      <c r="D11" s="5" t="n">
        <v>41.16</v>
      </c>
      <c r="E11" s="5" t="n">
        <v>1680</v>
      </c>
      <c r="F11" s="5" t="n">
        <v>1800</v>
      </c>
      <c r="G11" s="5" t="n">
        <v>1.76</v>
      </c>
      <c r="H11" s="5" t="n">
        <v>1.82</v>
      </c>
      <c r="I11" s="5" t="n">
        <v>79.09999999999999</v>
      </c>
      <c r="J11" s="5" t="n">
        <v>81.8</v>
      </c>
    </row>
    <row r="12">
      <c r="A12" s="5" t="inlineStr">
        <is>
          <t>2026-09</t>
        </is>
      </c>
      <c r="B12" s="5" t="n">
        <v>311</v>
      </c>
      <c r="C12" s="5" t="n">
        <v>128</v>
      </c>
      <c r="D12" s="5" t="n">
        <v>41.16</v>
      </c>
      <c r="E12" s="5" t="n">
        <v>1702</v>
      </c>
      <c r="F12" s="5" t="n">
        <v>1838</v>
      </c>
      <c r="G12" s="5" t="n">
        <v>1.77</v>
      </c>
      <c r="H12" s="5" t="n">
        <v>1.84</v>
      </c>
      <c r="I12" s="5" t="n">
        <v>79.59999999999999</v>
      </c>
      <c r="J12" s="5" t="n">
        <v>82.7</v>
      </c>
    </row>
    <row r="13">
      <c r="A13" s="5" t="inlineStr">
        <is>
          <t>2026-10</t>
        </is>
      </c>
      <c r="B13" s="5" t="n">
        <v>312</v>
      </c>
      <c r="C13" s="5" t="n">
        <v>129</v>
      </c>
      <c r="D13" s="5" t="n">
        <v>41.35</v>
      </c>
      <c r="E13" s="5" t="n">
        <v>1725</v>
      </c>
      <c r="F13" s="5" t="n">
        <v>1875</v>
      </c>
      <c r="G13" s="5" t="n">
        <v>1.78</v>
      </c>
      <c r="H13" s="5" t="n">
        <v>1.86</v>
      </c>
      <c r="I13" s="5" t="n">
        <v>80.09999999999999</v>
      </c>
      <c r="J13" s="5" t="n">
        <v>83.5</v>
      </c>
    </row>
    <row r="14">
      <c r="A14" s="5" t="inlineStr">
        <is>
          <t>2026-11</t>
        </is>
      </c>
      <c r="B14" s="5" t="n">
        <v>313</v>
      </c>
      <c r="C14" s="5" t="n">
        <v>129</v>
      </c>
      <c r="D14" s="5" t="n">
        <v>41.21</v>
      </c>
      <c r="E14" s="5" t="n">
        <v>1748</v>
      </c>
      <c r="F14" s="5" t="n">
        <v>1912</v>
      </c>
      <c r="G14" s="5" t="n">
        <v>1.79</v>
      </c>
      <c r="H14" s="5" t="n">
        <v>1.87</v>
      </c>
      <c r="I14" s="5" t="n">
        <v>80.59999999999999</v>
      </c>
      <c r="J14" s="5" t="n">
        <v>84.3</v>
      </c>
    </row>
    <row r="15">
      <c r="A15" s="5" t="inlineStr">
        <is>
          <t>2026-12</t>
        </is>
      </c>
      <c r="B15" s="5" t="n">
        <v>314</v>
      </c>
      <c r="C15" s="5" t="n">
        <v>129</v>
      </c>
      <c r="D15" s="5" t="n">
        <v>41.08</v>
      </c>
      <c r="E15" s="5" t="n">
        <v>1770</v>
      </c>
      <c r="F15" s="5" t="n">
        <v>1950</v>
      </c>
      <c r="G15" s="5" t="n">
        <v>1.8</v>
      </c>
      <c r="H15" s="5" t="n">
        <v>1.89</v>
      </c>
      <c r="I15" s="5" t="n">
        <v>81.09999999999999</v>
      </c>
      <c r="J15" s="5" t="n">
        <v>85.2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ANLEITUNG ZUM TRACKING-SYSTEM</t>
        </is>
      </c>
    </row>
    <row r="2">
      <c r="A2" t="inlineStr"/>
    </row>
    <row r="3">
      <c r="A3" s="11" t="inlineStr">
        <is>
          <t>1. MONATLICHES TRACKING</t>
        </is>
      </c>
    </row>
    <row r="4">
      <c r="A4" t="inlineStr">
        <is>
          <t xml:space="preserve">   - Gehen Sie zum Sheet 'Tracking Dashboard'</t>
        </is>
      </c>
    </row>
    <row r="5">
      <c r="A5" t="inlineStr">
        <is>
          <t xml:space="preserve">   - Tragen Sie am Ende jeden Monats die tatsächlichen Werte in die GELB markierten Spalten ein:</t>
        </is>
      </c>
    </row>
    <row r="6">
      <c r="A6" t="inlineStr">
        <is>
          <t xml:space="preserve">     * Partner IST: Gesamtzahl der RippleNet-Partner</t>
        </is>
      </c>
    </row>
    <row r="7">
      <c r="A7" t="inlineStr">
        <is>
          <t xml:space="preserve">     * ODL Aktiv IST: Anzahl der aktiv ODL nutzenden Partner</t>
        </is>
      </c>
    </row>
    <row r="8">
      <c r="A8" t="inlineStr">
        <is>
          <t xml:space="preserve">     * ODL Volumen IST: Monatliches ODL-Transaktionsvolumen in Mrd USD</t>
        </is>
      </c>
    </row>
    <row r="9">
      <c r="A9" t="inlineStr">
        <is>
          <t xml:space="preserve">     * XRP Preis IST: Durchschnittlicher XRP-Preis des Monats in USD</t>
        </is>
      </c>
    </row>
    <row r="10">
      <c r="A10" t="inlineStr">
        <is>
          <t xml:space="preserve">   - Die Abweichungen werden automatisch berechnet</t>
        </is>
      </c>
    </row>
    <row r="11">
      <c r="A11" t="inlineStr"/>
    </row>
    <row r="12">
      <c r="A12" s="11" t="inlineStr">
        <is>
          <t>2. DATENQUELLEN</t>
        </is>
      </c>
    </row>
    <row r="13">
      <c r="A13" t="inlineStr">
        <is>
          <t xml:space="preserve">   - Partner-Zahlen: Ripple-Pressemitteilungen, Investoren-Updates</t>
        </is>
      </c>
    </row>
    <row r="14">
      <c r="A14" t="inlineStr">
        <is>
          <t xml:space="preserve">   - ODL-Volumen: XRPScan.com, Ripple-Berichte</t>
        </is>
      </c>
    </row>
    <row r="15">
      <c r="A15" t="inlineStr">
        <is>
          <t xml:space="preserve">   - XRP-Preis: CoinMarketCap, CoinGecko, Yahoo Finance</t>
        </is>
      </c>
    </row>
    <row r="16">
      <c r="A16" t="inlineStr"/>
    </row>
    <row r="17">
      <c r="A17" s="11" t="inlineStr">
        <is>
          <t>3. INTERPRETATION DER ABWEICHUNGEN</t>
        </is>
      </c>
    </row>
    <row r="18">
      <c r="A18" t="inlineStr">
        <is>
          <t xml:space="preserve">   - Positive Abweichung: Tatsächlicher Wert liegt ÜBER der Prognose (gut für Investment)</t>
        </is>
      </c>
    </row>
    <row r="19">
      <c r="A19" t="inlineStr">
        <is>
          <t xml:space="preserve">   - Negative Abweichung: Tatsächlicher Wert liegt UNTER der Prognose</t>
        </is>
      </c>
    </row>
    <row r="20">
      <c r="A20" t="inlineStr">
        <is>
          <t xml:space="preserve">   - Abweichung &gt;10%: Signifikante Abweichung, Prognose-Modell überprüfen</t>
        </is>
      </c>
    </row>
    <row r="21">
      <c r="A21" t="inlineStr"/>
    </row>
    <row r="22">
      <c r="A22" s="11" t="inlineStr">
        <is>
          <t>4. MONATLICHE AUSWERTUNG</t>
        </is>
      </c>
    </row>
    <row r="23">
      <c r="A23" t="inlineStr">
        <is>
          <t xml:space="preserve">   - Nutzen Sie das Python-Script 'analyze_tracking.py' für automatische Auswertung</t>
        </is>
      </c>
    </row>
    <row r="24">
      <c r="A24" t="inlineStr">
        <is>
          <t xml:space="preserve">   - Oder: Manuelle Analyse der Abweichungen im Dashboard</t>
        </is>
      </c>
    </row>
    <row r="25">
      <c r="A25" t="inlineStr"/>
    </row>
    <row r="26">
      <c r="A26" s="11" t="inlineStr">
        <is>
          <t>5. PROGNOSE-SZENARIEN</t>
        </is>
      </c>
    </row>
    <row r="27">
      <c r="A27" t="inlineStr">
        <is>
          <t xml:space="preserve">   - Konservativ: Basiert auf moderatem Wachstum (~20% p.a.)</t>
        </is>
      </c>
    </row>
    <row r="28">
      <c r="A28" t="inlineStr">
        <is>
          <t xml:space="preserve">   - Optimistisch: Basiert auf starkem Wachstum (~35% p.a.)</t>
        </is>
      </c>
    </row>
    <row r="29">
      <c r="A29" t="inlineStr">
        <is>
          <t xml:space="preserve">   - Das Dashboard zeigt konservative Werte, vollständige Szenarien im Sheet 'Vollständige Prognosen'</t>
        </is>
      </c>
    </row>
    <row r="30">
      <c r="A30" t="inlineStr"/>
    </row>
    <row r="31">
      <c r="A31" s="11" t="inlineStr">
        <is>
          <t>6. WICHTIGE HINWEISE</t>
        </is>
      </c>
    </row>
    <row r="32">
      <c r="A32" t="inlineStr">
        <is>
          <t xml:space="preserve">   - Korrelation ≠ Kausalität: Viele Faktoren beeinflussen den XRP-Preis</t>
        </is>
      </c>
    </row>
    <row r="33">
      <c r="A33" t="inlineStr">
        <is>
          <t xml:space="preserve">   - Externe Ereignisse (Regulierung, Markt-Crashes) können Prognosen ungültig machen</t>
        </is>
      </c>
    </row>
    <row r="34">
      <c r="A34" t="inlineStr">
        <is>
          <t xml:space="preserve">   - Nutzen Sie dieses Tool als Orientierung, nicht als Garantie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2026-02-02T17:55:17Z</dcterms:created>
  <dcterms:modified xmlns:dcterms="http://purl.org/dc/terms/" xmlns:xsi="http://www.w3.org/2001/XMLSchema-instance" xsi:type="dcterms:W3CDTF">2026-02-02T17:55:17Z</dcterms:modified>
</cp:coreProperties>
</file>